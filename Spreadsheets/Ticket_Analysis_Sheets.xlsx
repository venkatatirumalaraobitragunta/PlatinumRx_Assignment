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la\Desktop\"/>
    </mc:Choice>
  </mc:AlternateContent>
  <xr:revisionPtr revIDLastSave="0" documentId="8_{3CC5BB5F-5E54-467D-B7D7-B2344A41A4F9}" xr6:coauthVersionLast="47" xr6:coauthVersionMax="47" xr10:uidLastSave="{00000000-0000-0000-0000-000000000000}"/>
  <bookViews>
    <workbookView xWindow="-108" yWindow="-108" windowWidth="23256" windowHeight="12456" xr2:uid="{1DC1C0D6-B402-452D-A2F0-0947281194BF}"/>
  </bookViews>
  <sheets>
    <sheet name="ticket" sheetId="1" r:id="rId1"/>
    <sheet name="feedback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2"/>
  <c r="D4" i="2"/>
  <c r="D5" i="2"/>
  <c r="D2" i="2"/>
</calcChain>
</file>

<file path=xl/sharedStrings.xml><?xml version="1.0" encoding="utf-8"?>
<sst xmlns="http://schemas.openxmlformats.org/spreadsheetml/2006/main" count="37" uniqueCount="26">
  <si>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</si>
  <si>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</si>
  <si>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</si>
  <si>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</si>
  <si>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</si>
  <si>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</si>
  <si>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</si>
  <si>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</si>
  <si>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</si>
  <si>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</si>
  <si>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abc-123-xy9</t>
  </si>
  <si>
    <t>asd-123-aaa</t>
  </si>
  <si>
    <t>xyz-55-rr2</t>
  </si>
  <si>
    <t>wer-poi-876</t>
  </si>
  <si>
    <t>ghj-29-pp3</t>
  </si>
  <si>
    <t>zxc-vbn-999</t>
  </si>
  <si>
    <t>feedback_at</t>
  </si>
  <si>
    <t>feedback_rating</t>
  </si>
  <si>
    <t>ticket_created_at</t>
  </si>
  <si>
    <t>same_day?</t>
  </si>
  <si>
    <t>same_hour?</t>
  </si>
  <si>
    <t>Row Labels</t>
  </si>
  <si>
    <t>Grand Total</t>
  </si>
  <si>
    <t>Count of same_day?</t>
  </si>
  <si>
    <t>Count of same_hour?</t>
  </si>
  <si>
    <t>Count Outlet-wise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</si>
</sst>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d chitturi" refreshedDate="45993.75448171296" createdVersion="8" refreshedVersion="8" minRefreshableVersion="3" recordCount="5" xr:uid="{F13CC1B4-FE12-4290-89F2-D2CE682FEA35}">
  <cacheSource type="worksheet">
    <worksheetSource ref="A1:G6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08:10:05" maxDate="2021-08-22T18:45:55"/>
    </cacheField>
    <cacheField name="closed_at" numFmtId="22">
      <sharedItems containsSemiMixedTypes="0" containsNonDate="0" containsDate="1" containsString="0" minDate="2021-08-19T08:40:05" maxDate="2021-08-22T20:00:0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_day?" numFmtId="0">
      <sharedItems/>
    </cacheField>
    <cacheField name="same_hou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16:45:43"/>
    <d v="2021-08-22T12:33:32"/>
    <x v="0"/>
    <s v="vew-iuvd-12"/>
    <b v="0"/>
    <b v="0"/>
  </r>
  <r>
    <s v="qer-fal-092"/>
    <d v="2021-08-21T11:09:22"/>
    <d v="2021-08-21T17:13:45"/>
    <x v="1"/>
    <s v="abc-123-xy9"/>
    <b v="1"/>
    <b v="0"/>
  </r>
  <r>
    <s v="asd-123-aaa"/>
    <d v="2021-08-21T09:15:10"/>
    <d v="2021-08-21T09:55:10"/>
    <x v="0"/>
    <s v="xyz-55-rr2"/>
    <b v="1"/>
    <b v="1"/>
  </r>
  <r>
    <s v="wer-poi-876"/>
    <d v="2021-08-19T08:10:05"/>
    <d v="2021-08-19T08:40:05"/>
    <x v="1"/>
    <s v="ghj-29-pp3"/>
    <b v="1"/>
    <b v="1"/>
  </r>
  <r>
    <s v="zxc-vbn-999"/>
    <d v="2021-08-22T18:45:55"/>
    <d v="2021-08-22T20:00:00"/>
    <x v="0"/>
    <s v="vew-iuvd-12"/>
    <b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29A8E-CF32-44B1-A048-EDF7F015A0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M9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_day?" fld="5" subtotal="count" baseField="0" baseItem="0"/>
    <dataField name="Count of same_hour?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E10E-49F3-4D23-B360-365667CEF1CC}">
  <dimension ref="A1:M9"/>
  <sheetViews>
    <sheetView tabSelected="1" workbookViewId="0">
      <selection activeCell="O13" sqref="O13"/>
    </sheetView>
  </sheetViews>
  <sheetFormatPr defaultRowHeight="14.4" x14ac:dyDescent="0.3"/>
  <cols>
    <col min="1" max="1" width="11.109375" bestFit="1" customWidth="1"/>
    <col min="2" max="3" width="15.44140625" bestFit="1" customWidth="1"/>
    <col min="4" max="4" width="12.77734375" bestFit="1" customWidth="1"/>
    <col min="5" max="5" width="11" bestFit="1" customWidth="1"/>
    <col min="6" max="6" width="10.5546875" customWidth="1"/>
    <col min="7" max="7" width="11" customWidth="1"/>
    <col min="11" max="11" width="12.77734375" bestFit="1" customWidth="1"/>
    <col min="12" max="12" width="18.44140625" bestFit="1" customWidth="1"/>
    <col min="13" max="13" width="19.33203125" bestFit="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</row>
    <row r="2" spans="1:13" ht="28.8" x14ac:dyDescent="0.3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  <c r="F2" t="b">
        <f>INT(B2) = INT(C2)</f>
        <v>0</v>
      </c>
      <c r="G2" t="b">
        <f>AND(INT(B2)=INT(C2), HOUR(B2)=HOUR(C2))</f>
        <v>0</v>
      </c>
    </row>
    <row r="3" spans="1:13" ht="28.8" x14ac:dyDescent="0.3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  <c r="F3" t="b">
        <f t="shared" ref="F3:F6" si="0">INT(B3) = INT(C3)</f>
        <v>1</v>
      </c>
      <c r="G3" t="b">
        <f t="shared" ref="G3:G6" si="1">AND(INT(B3)=INT(C3), HOUR(B3)=HOUR(C3))</f>
        <v>0</v>
      </c>
    </row>
    <row r="4" spans="1:13" ht="28.8" x14ac:dyDescent="0.3">
      <c r="A4" s="2" t="s">
        <v>11</v>
      </c>
      <c r="B4" s="3">
        <v>44429.38553240741</v>
      </c>
      <c r="C4" s="3">
        <v>44429.413310185184</v>
      </c>
      <c r="D4" s="2" t="s">
        <v>6</v>
      </c>
      <c r="E4" s="2" t="s">
        <v>12</v>
      </c>
      <c r="F4" t="b">
        <f t="shared" si="0"/>
        <v>1</v>
      </c>
      <c r="G4" t="b">
        <f t="shared" si="1"/>
        <v>1</v>
      </c>
      <c r="K4" t="s">
        <v>25</v>
      </c>
    </row>
    <row r="5" spans="1:13" ht="28.8" x14ac:dyDescent="0.3">
      <c r="A5" s="2" t="s">
        <v>13</v>
      </c>
      <c r="B5" s="3">
        <v>44427.34033564815</v>
      </c>
      <c r="C5" s="3">
        <v>44427.361168981479</v>
      </c>
      <c r="D5" s="2" t="s">
        <v>9</v>
      </c>
      <c r="E5" s="2" t="s">
        <v>14</v>
      </c>
      <c r="F5" t="b">
        <f t="shared" si="0"/>
        <v>1</v>
      </c>
      <c r="G5" t="b">
        <f t="shared" si="1"/>
        <v>1</v>
      </c>
    </row>
    <row r="6" spans="1:13" ht="28.8" x14ac:dyDescent="0.3">
      <c r="A6" s="2" t="s">
        <v>15</v>
      </c>
      <c r="B6" s="3">
        <v>44430.781886574077</v>
      </c>
      <c r="C6" s="3">
        <v>44430.833333333336</v>
      </c>
      <c r="D6" s="2" t="s">
        <v>6</v>
      </c>
      <c r="E6" s="2" t="s">
        <v>7</v>
      </c>
      <c r="F6" t="b">
        <f t="shared" si="0"/>
        <v>1</v>
      </c>
      <c r="G6" t="b">
        <f t="shared" si="1"/>
        <v>0</v>
      </c>
      <c r="K6" s="4" t="s">
        <v>21</v>
      </c>
      <c r="L6" t="s">
        <v>23</v>
      </c>
      <c r="M6" t="s">
        <v>24</v>
      </c>
    </row>
    <row r="7" spans="1:13" x14ac:dyDescent="0.3">
      <c r="K7" s="5" t="s">
        <v>9</v>
      </c>
      <c r="L7">
        <v>2</v>
      </c>
      <c r="M7">
        <v>2</v>
      </c>
    </row>
    <row r="8" spans="1:13" x14ac:dyDescent="0.3">
      <c r="K8" s="5" t="s">
        <v>6</v>
      </c>
      <c r="L8">
        <v>3</v>
      </c>
      <c r="M8">
        <v>3</v>
      </c>
    </row>
    <row r="9" spans="1:13" x14ac:dyDescent="0.3">
      <c r="K9" s="5" t="s">
        <v>22</v>
      </c>
      <c r="L9">
        <v>5</v>
      </c>
      <c r="M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6728-1D35-4AF3-B7BA-41826FAAFA83}">
  <dimension ref="A1:D5"/>
  <sheetViews>
    <sheetView workbookViewId="0">
      <selection activeCell="G6" sqref="G6"/>
    </sheetView>
  </sheetViews>
  <sheetFormatPr defaultRowHeight="14.4" x14ac:dyDescent="0.3"/>
  <cols>
    <col min="1" max="1" width="8.33203125" bestFit="1" customWidth="1"/>
    <col min="2" max="2" width="15.44140625" bestFit="1" customWidth="1"/>
    <col min="3" max="3" width="8.77734375" bestFit="1" customWidth="1"/>
    <col min="4" max="4" width="15.44140625" bestFit="1" customWidth="1"/>
  </cols>
  <sheetData>
    <row r="1" spans="1:4" ht="28.8" x14ac:dyDescent="0.3">
      <c r="A1" s="1" t="s">
        <v>4</v>
      </c>
      <c r="B1" s="1" t="s">
        <v>16</v>
      </c>
      <c r="C1" s="1" t="s">
        <v>17</v>
      </c>
      <c r="D1" s="1" t="s">
        <v>18</v>
      </c>
    </row>
    <row r="2" spans="1:4" ht="28.8" x14ac:dyDescent="0.3">
      <c r="A2" s="2" t="s">
        <v>7</v>
      </c>
      <c r="B2" s="3">
        <v>44429.560277777775</v>
      </c>
      <c r="C2" s="2">
        <v>3</v>
      </c>
      <c r="D2" s="3">
        <f>INDEX(ticket!B:B, MATCH(A2, ticket!E:E, 0))</f>
        <v>44427.698414351849</v>
      </c>
    </row>
    <row r="3" spans="1:4" ht="28.8" x14ac:dyDescent="0.3">
      <c r="A3" s="2" t="s">
        <v>10</v>
      </c>
      <c r="B3" s="3">
        <v>44429.750555555554</v>
      </c>
      <c r="C3" s="2">
        <v>5</v>
      </c>
      <c r="D3" s="3">
        <f>INDEX(ticket!B:B, MATCH(A3, ticket!E:E, 0))</f>
        <v>44429.464837962965</v>
      </c>
    </row>
    <row r="4" spans="1:4" ht="28.8" x14ac:dyDescent="0.3">
      <c r="A4" s="2" t="s">
        <v>12</v>
      </c>
      <c r="B4" s="3">
        <v>44429.416666666664</v>
      </c>
      <c r="C4" s="2">
        <v>4</v>
      </c>
      <c r="D4" s="3">
        <f>INDEX(ticket!B:B, MATCH(A4, ticket!E:E, 0))</f>
        <v>44429.38553240741</v>
      </c>
    </row>
    <row r="5" spans="1:4" ht="28.8" x14ac:dyDescent="0.3">
      <c r="A5" s="2" t="s">
        <v>14</v>
      </c>
      <c r="B5" s="3">
        <v>44427.375</v>
      </c>
      <c r="C5" s="2">
        <v>2</v>
      </c>
      <c r="D5" s="3">
        <f>INDEX(ticket!B:B, MATCH(A5, ticket!E:E, 0))</f>
        <v>44427.34033564815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Tirumalarao</dc:creator>
  <cp:lastModifiedBy>Bitragunta Venkata TirumalaRao</cp:lastModifiedBy>
  <dcterms:created xsi:type="dcterms:W3CDTF">2025-12-02T12:24:58Z</dcterms:created>
  <dcterms:modified xsi:type="dcterms:W3CDTF">2026-04-09T01:30:06Z</dcterms:modified>
</cp:coreProperties>
</file>